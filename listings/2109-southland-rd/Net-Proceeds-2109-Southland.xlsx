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 Procee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$* #,##0_);_($* (#,##0);_($* &quot;-&quot;_);_(@_)"/>
    <numFmt numFmtId="165" formatCode="0.000%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i val="1"/>
      <color rgb="00666666"/>
      <sz val="9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5C63"/>
      </patternFill>
    </fill>
    <fill>
      <patternFill patternType="solid">
        <fgColor rgb="00E8E8E8"/>
      </patternFill>
    </fill>
    <fill>
      <patternFill patternType="solid">
        <fgColor rgb="00FFF2CC"/>
      </patternFill>
    </fill>
    <fill>
      <patternFill patternType="solid">
        <fgColor rgb="00DDEBE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wrapText="1"/>
    </xf>
    <xf numFmtId="0" fontId="0" fillId="3" borderId="0" pivotButton="0" quotePrefix="0" xfId="0"/>
    <xf numFmtId="0" fontId="4" fillId="0" borderId="1" applyAlignment="1" pivotButton="0" quotePrefix="0" xfId="0">
      <alignment horizontal="left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4" borderId="1" pivotButton="0" quotePrefix="0" xfId="0"/>
    <xf numFmtId="0" fontId="0" fillId="0" borderId="1" applyAlignment="1" pivotButton="0" quotePrefix="0" xfId="0">
      <alignment horizontal="left" wrapText="1"/>
    </xf>
    <xf numFmtId="10" fontId="0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164" fontId="0" fillId="0" borderId="1" pivotButton="0" quotePrefix="0" xfId="0"/>
    <xf numFmtId="164" fontId="4" fillId="0" borderId="1" pivotButton="0" quotePrefix="0" xfId="0"/>
    <xf numFmtId="0" fontId="4" fillId="5" borderId="1" applyAlignment="1" pivotButton="0" quotePrefix="0" xfId="0">
      <alignment horizontal="left" wrapText="1"/>
    </xf>
    <xf numFmtId="0" fontId="0" fillId="5" borderId="0" pivotButton="0" quotePrefix="0" xfId="0"/>
    <xf numFmtId="164" fontId="5" fillId="5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ESTIMATED SELLER NET PROCEEDS</t>
        </is>
      </c>
      <c r="B1" s="2" t="n"/>
      <c r="C1" s="2" t="n"/>
      <c r="D1" s="2" t="n"/>
      <c r="E1" s="2" t="n"/>
    </row>
    <row r="2">
      <c r="A2" s="3" t="inlineStr">
        <is>
          <t>2109 Southland Rd, Gwynn Oak, MD 21207  (Baltimore County)</t>
        </is>
      </c>
    </row>
    <row r="3">
      <c r="A3" s="4" t="inlineStr">
        <is>
          <t>Prepared by Kyle Friedman, The Friedman Team  ·  (443) 789-3101  ·  kyle@friedmanreteam.com</t>
        </is>
      </c>
    </row>
    <row r="5">
      <c r="A5" s="5" t="inlineStr">
        <is>
          <t>ASSUMPTIONS  —  edit the yellow cells</t>
        </is>
      </c>
      <c r="B5" s="6" t="n"/>
      <c r="C5" s="6" t="n"/>
      <c r="D5" s="6" t="n"/>
      <c r="E5" s="6" t="n"/>
    </row>
    <row r="6">
      <c r="A6" s="7" t="inlineStr"/>
      <c r="B6" s="8" t="inlineStr">
        <is>
          <t>Rate / $</t>
        </is>
      </c>
      <c r="C6" s="9" t="inlineStr">
        <is>
          <t>Conservative</t>
        </is>
      </c>
      <c r="D6" s="9" t="inlineStr">
        <is>
          <t>Mid</t>
        </is>
      </c>
      <c r="E6" s="9" t="inlineStr">
        <is>
          <t>Target</t>
        </is>
      </c>
    </row>
    <row r="7">
      <c r="A7" s="7" t="inlineStr">
        <is>
          <t>List / sale price</t>
        </is>
      </c>
      <c r="C7" s="10" t="n">
        <v>275000</v>
      </c>
      <c r="D7" s="10" t="n">
        <v>300000</v>
      </c>
      <c r="E7" s="10" t="n">
        <v>325000</v>
      </c>
    </row>
    <row r="8">
      <c r="A8" s="11" t="inlineStr">
        <is>
          <t>Total real estate commission (% of price)</t>
        </is>
      </c>
      <c r="B8" s="12" t="n">
        <v>0.05</v>
      </c>
    </row>
    <row r="9">
      <c r="A9" s="11" t="inlineStr">
        <is>
          <t>MD state transfer tax — seller share (0.25% = half)</t>
        </is>
      </c>
      <c r="B9" s="13" t="n">
        <v>0.0025</v>
      </c>
    </row>
    <row r="10">
      <c r="A10" s="11" t="inlineStr">
        <is>
          <t>Baltimore County transfer tax — seller share (0.75% = half)</t>
        </is>
      </c>
      <c r="B10" s="13" t="n">
        <v>0.0075</v>
      </c>
    </row>
    <row r="11">
      <c r="A11" s="11" t="inlineStr">
        <is>
          <t>Recordation tax — seller share (customarily buyer pays)</t>
        </is>
      </c>
      <c r="B11" s="13" t="n">
        <v>0</v>
      </c>
    </row>
    <row r="12">
      <c r="A12" s="11" t="inlineStr">
        <is>
          <t>Settlement / closing fee (seller side)</t>
        </is>
      </c>
      <c r="B12" s="14" t="n">
        <v>500</v>
      </c>
    </row>
    <row r="13">
      <c r="A13" s="11" t="inlineStr">
        <is>
          <t>Deed &amp; document preparation</t>
        </is>
      </c>
      <c r="B13" s="14" t="n">
        <v>150</v>
      </c>
    </row>
    <row r="14">
      <c r="A14" s="11" t="inlineStr">
        <is>
          <t>Lien release / title clearance (old paid loans)</t>
        </is>
      </c>
      <c r="B14" s="14" t="n">
        <v>150</v>
      </c>
    </row>
    <row r="15">
      <c r="A15" s="11" t="inlineStr">
        <is>
          <t>Termite / WDI inspection (customary seller pay in MD)</t>
        </is>
      </c>
      <c r="B15" s="14" t="n">
        <v>100</v>
      </c>
    </row>
    <row r="16">
      <c r="A16" s="11" t="inlineStr">
        <is>
          <t>Home warranty for buyer (optional)</t>
        </is>
      </c>
      <c r="B16" s="14" t="n">
        <v>0</v>
      </c>
    </row>
    <row r="17">
      <c r="A17" s="11" t="inlineStr">
        <is>
          <t>HOA / front-foot / condo fees (none known)</t>
        </is>
      </c>
      <c r="B17" s="14" t="n">
        <v>0</v>
      </c>
    </row>
    <row r="18">
      <c r="A18" s="11" t="inlineStr">
        <is>
          <t>Property tax proration owed by seller (see note)</t>
        </is>
      </c>
      <c r="B18" s="14" t="n">
        <v>0</v>
      </c>
    </row>
    <row r="19">
      <c r="A19" s="11" t="inlineStr">
        <is>
          <t>Buyer closing-cost concession</t>
        </is>
      </c>
      <c r="B19" s="14" t="n">
        <v>0</v>
      </c>
    </row>
    <row r="20">
      <c r="A20" s="11" t="inlineStr">
        <is>
          <t>Pre-listing prep / repairs (fill after walkthrough)</t>
        </is>
      </c>
      <c r="B20" s="14" t="n">
        <v>0</v>
      </c>
    </row>
    <row r="21">
      <c r="A21" s="11" t="inlineStr">
        <is>
          <t>Mortgage payoff  (seller reports free &amp; clear)</t>
        </is>
      </c>
      <c r="B21" s="14" t="n">
        <v>0</v>
      </c>
    </row>
    <row r="22">
      <c r="A22" s="11" t="inlineStr">
        <is>
          <t>Misc — wire, courier, notary, overnight</t>
        </is>
      </c>
      <c r="B22" s="14" t="n">
        <v>150</v>
      </c>
    </row>
    <row r="24">
      <c r="A24" s="5" t="inlineStr">
        <is>
          <t>ESTIMATED COSTS OF SALE</t>
        </is>
      </c>
      <c r="B24" s="6" t="n"/>
      <c r="C24" s="6" t="n"/>
      <c r="D24" s="6" t="n"/>
      <c r="E24" s="6" t="n"/>
    </row>
    <row r="25">
      <c r="A25" s="7" t="inlineStr"/>
      <c r="C25" s="9" t="inlineStr">
        <is>
          <t>Conservative</t>
        </is>
      </c>
      <c r="D25" s="9" t="inlineStr">
        <is>
          <t>Mid</t>
        </is>
      </c>
      <c r="E25" s="9" t="inlineStr">
        <is>
          <t>Target</t>
        </is>
      </c>
    </row>
    <row r="26">
      <c r="A26" s="11" t="inlineStr">
        <is>
          <t>Gross sale price</t>
        </is>
      </c>
      <c r="C26" s="15">
        <f>C7</f>
        <v/>
      </c>
      <c r="D26" s="15">
        <f>D7</f>
        <v/>
      </c>
      <c r="E26" s="15">
        <f>E7</f>
        <v/>
      </c>
    </row>
    <row r="27">
      <c r="A27" s="11" t="inlineStr">
        <is>
          <t>Real estate commission</t>
        </is>
      </c>
      <c r="C27" s="15">
        <f>-C7*$B$8</f>
        <v/>
      </c>
      <c r="D27" s="15">
        <f>-D7*$B$8</f>
        <v/>
      </c>
      <c r="E27" s="15">
        <f>-E7*$B$8</f>
        <v/>
      </c>
    </row>
    <row r="28">
      <c r="A28" s="11" t="inlineStr">
        <is>
          <t>MD state transfer tax (seller share)</t>
        </is>
      </c>
      <c r="C28" s="15">
        <f>-C7*$B$9</f>
        <v/>
      </c>
      <c r="D28" s="15">
        <f>-D7*$B$9</f>
        <v/>
      </c>
      <c r="E28" s="15">
        <f>-E7*$B$9</f>
        <v/>
      </c>
    </row>
    <row r="29">
      <c r="A29" s="11" t="inlineStr">
        <is>
          <t>Baltimore County transfer tax (seller share)</t>
        </is>
      </c>
      <c r="C29" s="15">
        <f>-C7*$B$10</f>
        <v/>
      </c>
      <c r="D29" s="15">
        <f>-D7*$B$10</f>
        <v/>
      </c>
      <c r="E29" s="15">
        <f>-E7*$B$10</f>
        <v/>
      </c>
    </row>
    <row r="30">
      <c r="A30" s="11" t="inlineStr">
        <is>
          <t>Recordation tax (seller share)</t>
        </is>
      </c>
      <c r="C30" s="15">
        <f>-C7*$B$11</f>
        <v/>
      </c>
      <c r="D30" s="15">
        <f>-D7*$B$11</f>
        <v/>
      </c>
      <c r="E30" s="15">
        <f>-E7*$B$11</f>
        <v/>
      </c>
    </row>
    <row r="31">
      <c r="A31" s="11" t="inlineStr">
        <is>
          <t>Settlement / closing fee</t>
        </is>
      </c>
      <c r="C31" s="15">
        <f>-$B$12</f>
        <v/>
      </c>
      <c r="D31" s="15">
        <f>-$B$12</f>
        <v/>
      </c>
      <c r="E31" s="15">
        <f>-$B$12</f>
        <v/>
      </c>
    </row>
    <row r="32">
      <c r="A32" s="11" t="inlineStr">
        <is>
          <t>Deed &amp; document prep</t>
        </is>
      </c>
      <c r="C32" s="15">
        <f>-$B$13</f>
        <v/>
      </c>
      <c r="D32" s="15">
        <f>-$B$13</f>
        <v/>
      </c>
      <c r="E32" s="15">
        <f>-$B$13</f>
        <v/>
      </c>
    </row>
    <row r="33">
      <c r="A33" s="11" t="inlineStr">
        <is>
          <t>Lien release / title clearance</t>
        </is>
      </c>
      <c r="C33" s="15">
        <f>-$B$14</f>
        <v/>
      </c>
      <c r="D33" s="15">
        <f>-$B$14</f>
        <v/>
      </c>
      <c r="E33" s="15">
        <f>-$B$14</f>
        <v/>
      </c>
    </row>
    <row r="34">
      <c r="A34" s="11" t="inlineStr">
        <is>
          <t>Termite / WDI inspection</t>
        </is>
      </c>
      <c r="C34" s="15">
        <f>-$B$15</f>
        <v/>
      </c>
      <c r="D34" s="15">
        <f>-$B$15</f>
        <v/>
      </c>
      <c r="E34" s="15">
        <f>-$B$15</f>
        <v/>
      </c>
    </row>
    <row r="35">
      <c r="A35" s="11" t="inlineStr">
        <is>
          <t>Home warranty for buyer</t>
        </is>
      </c>
      <c r="C35" s="15">
        <f>-$B$16</f>
        <v/>
      </c>
      <c r="D35" s="15">
        <f>-$B$16</f>
        <v/>
      </c>
      <c r="E35" s="15">
        <f>-$B$16</f>
        <v/>
      </c>
    </row>
    <row r="36">
      <c r="A36" s="11" t="inlineStr">
        <is>
          <t>HOA / front-foot / condo fees</t>
        </is>
      </c>
      <c r="C36" s="15">
        <f>-$B$17</f>
        <v/>
      </c>
      <c r="D36" s="15">
        <f>-$B$17</f>
        <v/>
      </c>
      <c r="E36" s="15">
        <f>-$B$17</f>
        <v/>
      </c>
    </row>
    <row r="37">
      <c r="A37" s="11" t="inlineStr">
        <is>
          <t>Property tax proration</t>
        </is>
      </c>
      <c r="C37" s="15">
        <f>-$B$18</f>
        <v/>
      </c>
      <c r="D37" s="15">
        <f>-$B$18</f>
        <v/>
      </c>
      <c r="E37" s="15">
        <f>-$B$18</f>
        <v/>
      </c>
    </row>
    <row r="38">
      <c r="A38" s="11" t="inlineStr">
        <is>
          <t>Buyer closing-cost concession</t>
        </is>
      </c>
      <c r="C38" s="15">
        <f>-$B$19</f>
        <v/>
      </c>
      <c r="D38" s="15">
        <f>-$B$19</f>
        <v/>
      </c>
      <c r="E38" s="15">
        <f>-$B$19</f>
        <v/>
      </c>
    </row>
    <row r="39">
      <c r="A39" s="11" t="inlineStr">
        <is>
          <t>Pre-listing prep / repairs</t>
        </is>
      </c>
      <c r="C39" s="15">
        <f>-$B$20</f>
        <v/>
      </c>
      <c r="D39" s="15">
        <f>-$B$20</f>
        <v/>
      </c>
      <c r="E39" s="15">
        <f>-$B$20</f>
        <v/>
      </c>
    </row>
    <row r="40">
      <c r="A40" s="11" t="inlineStr">
        <is>
          <t>Mortgage payoff</t>
        </is>
      </c>
      <c r="C40" s="15">
        <f>-$B$21</f>
        <v/>
      </c>
      <c r="D40" s="15">
        <f>-$B$21</f>
        <v/>
      </c>
      <c r="E40" s="15">
        <f>-$B$21</f>
        <v/>
      </c>
    </row>
    <row r="41">
      <c r="A41" s="11" t="inlineStr">
        <is>
          <t>Misc (wire, courier, notary)</t>
        </is>
      </c>
      <c r="C41" s="15">
        <f>-$B$22</f>
        <v/>
      </c>
      <c r="D41" s="15">
        <f>-$B$22</f>
        <v/>
      </c>
      <c r="E41" s="15">
        <f>-$B$22</f>
        <v/>
      </c>
    </row>
    <row r="42">
      <c r="A42" s="7" t="inlineStr">
        <is>
          <t>Total estimated costs of sale</t>
        </is>
      </c>
      <c r="C42" s="16">
        <f>SUM(C27:C41)</f>
        <v/>
      </c>
      <c r="D42" s="16">
        <f>SUM(D27:D41)</f>
        <v/>
      </c>
      <c r="E42" s="16">
        <f>SUM(E27:E41)</f>
        <v/>
      </c>
    </row>
    <row r="43">
      <c r="A43" s="17" t="inlineStr">
        <is>
          <t>ESTIMATED NET PROCEEDS TO SELLER</t>
        </is>
      </c>
      <c r="B43" s="18" t="n"/>
      <c r="C43" s="19">
        <f>C26+C42</f>
        <v/>
      </c>
      <c r="D43" s="19">
        <f>D26+D42</f>
        <v/>
      </c>
      <c r="E43" s="19">
        <f>E26+E42</f>
        <v/>
      </c>
    </row>
    <row r="44">
      <c r="A44" s="11" t="inlineStr">
        <is>
          <t>Net as % of sale price</t>
        </is>
      </c>
      <c r="C44" s="20">
        <f>C43/C7</f>
        <v/>
      </c>
      <c r="D44" s="20">
        <f>D43/D7</f>
        <v/>
      </c>
      <c r="E44" s="20">
        <f>E43/E7</f>
        <v/>
      </c>
    </row>
    <row r="46">
      <c r="A46" s="5" t="inlineStr">
        <is>
          <t>FOR SELLER AWARENESS — GAIN &amp; TAX</t>
        </is>
      </c>
      <c r="B46" s="6" t="n"/>
      <c r="C46" s="6" t="n"/>
      <c r="D46" s="6" t="n"/>
      <c r="E46" s="6" t="n"/>
    </row>
    <row r="47">
      <c r="A47" s="11" t="inlineStr">
        <is>
          <t>Original purchase price (Dec 23, 2013)</t>
        </is>
      </c>
      <c r="B47" s="14" t="n">
        <v>152000</v>
      </c>
    </row>
    <row r="48">
      <c r="A48" s="11" t="inlineStr">
        <is>
          <t>Approx. gain over purchase (net minus purchase)</t>
        </is>
      </c>
      <c r="C48" s="15">
        <f>C43-$B$47</f>
        <v/>
      </c>
      <c r="D48" s="15">
        <f>D43-$B$47</f>
        <v/>
      </c>
      <c r="E48" s="15">
        <f>E43-$B$47</f>
        <v/>
      </c>
    </row>
    <row r="50">
      <c r="A50" s="5" t="inlineStr">
        <is>
          <t>NOTES &amp; ASSUMPTIONS</t>
        </is>
      </c>
    </row>
    <row r="51">
      <c r="A51" s="21" t="inlineStr">
        <is>
          <t>1. Estimate only — not a closing disclosure. Final figures come from the title company's settlement statement.</t>
        </is>
      </c>
    </row>
    <row r="52">
      <c r="A52" s="21" t="inlineStr">
        <is>
          <t>2. Seller reports the property is owned free and clear (no mortgage, no HELOC). Payoff cell left at $0 — update if that changes.</t>
        </is>
      </c>
    </row>
    <row r="53">
      <c r="A53" s="21" t="inlineStr">
        <is>
          <t>3. Commission is negotiable and set in the listing agreement; buyer-agent compensation is negotiated separately post-2024. 5.0% total is the placeholder here.</t>
        </is>
      </c>
    </row>
    <row r="54">
      <c r="A54" s="21" t="inlineStr">
        <is>
          <t>4. Maryland state transfer tax is 0.5% of price; Baltimore County transfer tax is 1.5%. Both are customarily split 50/50 with the buyer, so the seller's share is modeled at 0.25% + 0.75%. Recordation tax (~0.5%) is customarily buyer-paid and is set to 0 for the seller — adjust if the contract shifts it.</t>
        </is>
      </c>
    </row>
    <row r="55">
      <c r="A55" s="21" t="inlineStr">
        <is>
          <t>5. Baltimore County property-tax year runs July 1 - June 30. Proration depends on the closing date and whether the year's taxes are already paid. Enter a positive number for an amount the SELLER owes the buyer at closing; leave 0 until a close date is known.</t>
        </is>
      </c>
    </row>
    <row r="56">
      <c r="A56" s="21" t="inlineStr">
        <is>
          <t>6. Home warranty, buyer concessions, and pre-listing repairs are $0 placeholders — fill in once strategy is set.</t>
        </is>
      </c>
    </row>
    <row r="57">
      <c r="A57" s="21" t="inlineStr">
        <is>
          <t>7. Primary-residence capital gains: if Algernon has owned AND lived in the home at least 2 of the last 5 years, the first $250,000 of gain (single) / $500,000 (married filing jointly) is excluded from federal tax. At these price points the entire gain is almost certainly tax-free. Confirm with a CPA.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2026-08-31T15:53:45Z</dcterms:created>
  <dcterms:modified xsi:type="dcterms:W3CDTF">2026-08-31T15:53:45Z</dcterms:modified>
</cp:coreProperties>
</file>