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Proc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b val="1"/>
      <color rgb="000F5C63"/>
      <sz val="13"/>
    </font>
    <font>
      <i val="1"/>
      <color rgb="005B6B6E"/>
      <sz val="9"/>
    </font>
    <font>
      <b val="1"/>
      <color rgb="00FFFFFF"/>
    </font>
    <font>
      <b val="1"/>
    </font>
    <font>
      <b val="1"/>
      <color rgb="000F5C63"/>
    </font>
    <font>
      <b val="1"/>
      <color rgb="000F5C63"/>
      <sz val="12"/>
    </font>
  </fonts>
  <fills count="6">
    <fill>
      <patternFill/>
    </fill>
    <fill>
      <patternFill patternType="gray125"/>
    </fill>
    <fill>
      <patternFill patternType="solid">
        <fgColor rgb="000F5C63"/>
      </patternFill>
    </fill>
    <fill>
      <patternFill patternType="solid">
        <fgColor rgb="00FFF3B0"/>
      </patternFill>
    </fill>
    <fill>
      <patternFill patternType="solid">
        <fgColor rgb="00C9A96A"/>
      </patternFill>
    </fill>
    <fill>
      <patternFill patternType="solid">
        <fgColor rgb="00FA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4" borderId="0" pivotButton="0" quotePrefix="0" xfId="0"/>
    <xf numFmtId="10" fontId="0" fillId="0" borderId="0" pivotButton="0" quotePrefix="0" xfId="0"/>
    <xf numFmtId="0" fontId="6" fillId="0" borderId="0" pivotButton="0" quotePrefix="0" xfId="0"/>
    <xf numFmtId="164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3070 Monroe St, Manchester MD 21102 - Estimated Net Proceeds</t>
        </is>
      </c>
    </row>
    <row r="2">
      <c r="A2" s="2" t="inlineStr">
        <is>
          <t>The Friedman Team | Kyle Friedman 443-789-3101 | yellow cells are editable</t>
        </is>
      </c>
    </row>
    <row r="4">
      <c r="A4" s="3" t="inlineStr">
        <is>
          <t>Scenario</t>
        </is>
      </c>
      <c r="B4" s="3" t="inlineStr">
        <is>
          <t>List 1</t>
        </is>
      </c>
      <c r="C4" s="3" t="inlineStr">
        <is>
          <t>List 2</t>
        </is>
      </c>
      <c r="D4" s="3" t="inlineStr">
        <is>
          <t>List 3</t>
        </is>
      </c>
    </row>
    <row r="5">
      <c r="A5" s="4" t="inlineStr">
        <is>
          <t>Sale price</t>
        </is>
      </c>
      <c r="B5" s="5" t="n">
        <v>319900</v>
      </c>
      <c r="C5" s="5" t="n">
        <v>329900</v>
      </c>
      <c r="D5" s="5" t="n">
        <v>339900</v>
      </c>
    </row>
    <row r="6">
      <c r="A6" s="4" t="inlineStr">
        <is>
          <t>Commission %</t>
        </is>
      </c>
      <c r="B6" s="6" t="n">
        <v>0.05</v>
      </c>
      <c r="C6" s="6" t="n">
        <v>0.05</v>
      </c>
      <c r="D6" s="6" t="n">
        <v>0.05</v>
      </c>
    </row>
    <row r="7">
      <c r="A7" s="4" t="inlineStr">
        <is>
          <t>Carroll County transfer + recordation, seller share %</t>
        </is>
      </c>
      <c r="B7" s="6" t="n">
        <v>0.008999999999999999</v>
      </c>
      <c r="C7" s="6" t="n">
        <v>0.008999999999999999</v>
      </c>
      <c r="D7" s="6" t="n">
        <v>0.008999999999999999</v>
      </c>
    </row>
    <row r="8">
      <c r="A8" t="inlineStr">
        <is>
          <t>Settlement / closing fee</t>
        </is>
      </c>
      <c r="B8" s="5" t="n">
        <v>500</v>
      </c>
      <c r="C8" s="5" t="n">
        <v>500</v>
      </c>
      <c r="D8" s="5" t="n">
        <v>500</v>
      </c>
    </row>
    <row r="9">
      <c r="A9" t="inlineStr">
        <is>
          <t>Deed &amp; doc prep</t>
        </is>
      </c>
      <c r="B9" s="5" t="n">
        <v>200</v>
      </c>
      <c r="C9" s="5" t="n">
        <v>200</v>
      </c>
      <c r="D9" s="5" t="n">
        <v>200</v>
      </c>
    </row>
    <row r="10">
      <c r="A10" t="inlineStr">
        <is>
          <t>Payoff processing &amp; lien release</t>
        </is>
      </c>
      <c r="B10" s="5" t="n">
        <v>200</v>
      </c>
      <c r="C10" s="5" t="n">
        <v>200</v>
      </c>
      <c r="D10" s="5" t="n">
        <v>200</v>
      </c>
    </row>
    <row r="11">
      <c r="A11" t="inlineStr">
        <is>
          <t>Wire, courier &amp; notary</t>
        </is>
      </c>
      <c r="B11" s="5" t="n">
        <v>150</v>
      </c>
      <c r="C11" s="5" t="n">
        <v>150</v>
      </c>
      <c r="D11" s="5" t="n">
        <v>150</v>
      </c>
    </row>
    <row r="12">
      <c r="A12" t="inlineStr">
        <is>
          <t>Termite / WDI inspection</t>
        </is>
      </c>
      <c r="B12" s="5" t="n">
        <v>100</v>
      </c>
      <c r="C12" s="5" t="n">
        <v>100</v>
      </c>
      <c r="D12" s="5" t="n">
        <v>100</v>
      </c>
    </row>
    <row r="13">
      <c r="A13" t="inlineStr">
        <is>
          <t>Seller concession / repairs / warranty (optional)</t>
        </is>
      </c>
      <c r="B13" s="5" t="n">
        <v>0</v>
      </c>
      <c r="C13" s="5" t="n">
        <v>0</v>
      </c>
      <c r="D13" s="5" t="n">
        <v>0</v>
      </c>
    </row>
    <row r="14">
      <c r="A14" s="4" t="inlineStr">
        <is>
          <t>Total estimated costs</t>
        </is>
      </c>
      <c r="B14" s="7">
        <f>B5*B6+B5*B7+B8+B9+B10+B11+B12+B13</f>
        <v/>
      </c>
      <c r="C14" s="7">
        <f>C5*C6+C5*C7+C8+C9+C10+C11+C12+C13</f>
        <v/>
      </c>
      <c r="D14" s="7">
        <f>D5*D6+D5*D7+D8+D9+D10+D11+D12+D13</f>
        <v/>
      </c>
    </row>
    <row r="15">
      <c r="A15" s="8" t="inlineStr">
        <is>
          <t>NET BEFORE LOAN PAYOFF</t>
        </is>
      </c>
      <c r="B15" s="9">
        <f>B5-B14</f>
        <v/>
      </c>
      <c r="C15" s="9">
        <f>C5-C14</f>
        <v/>
      </c>
      <c r="D15" s="9">
        <f>D5-D14</f>
        <v/>
      </c>
    </row>
    <row r="16">
      <c r="A16" t="inlineStr">
        <is>
          <t>Net as % of sale price</t>
        </is>
      </c>
      <c r="B16" s="10">
        <f>B15/B5</f>
        <v/>
      </c>
      <c r="C16" s="10">
        <f>C15/C5</f>
        <v/>
      </c>
      <c r="D16" s="10">
        <f>D15/D5</f>
        <v/>
      </c>
    </row>
    <row r="17">
      <c r="A17" s="4" t="inlineStr">
        <is>
          <t>Estimated loan balance (not a payoff statement)</t>
        </is>
      </c>
      <c r="B17" s="5" t="n">
        <v>109068</v>
      </c>
      <c r="C17" s="5" t="n">
        <v>109068</v>
      </c>
      <c r="D17" s="5" t="n">
        <v>109068</v>
      </c>
    </row>
    <row r="18">
      <c r="A18" s="11" t="inlineStr">
        <is>
          <t>ESTIMATED NET TO YOU</t>
        </is>
      </c>
      <c r="B18" s="12">
        <f>B15-B17</f>
        <v/>
      </c>
      <c r="C18" s="12">
        <f>C15-C17</f>
        <v/>
      </c>
      <c r="D18" s="12">
        <f>D15-D17</f>
        <v/>
      </c>
    </row>
    <row r="20">
      <c r="A20" s="2" t="inlineStr">
        <is>
          <t>Assumptions:</t>
        </is>
      </c>
    </row>
    <row r="21">
      <c r="A21" s="2" t="inlineStr">
        <is>
          <t>- Estimate only, not a closing disclosure.</t>
        </is>
      </c>
    </row>
    <row r="22">
      <c r="A22" s="2" t="inlineStr">
        <is>
          <t>- Commission 5.0% is a placeholder, negotiable, set in the listing agreement.</t>
        </is>
      </c>
    </row>
    <row r="23">
      <c r="A23" s="2" t="inlineStr">
        <is>
          <t>- Carroll County has no local transfer tax; MD state transfer (0.5%) + Carroll recordation ($6.50/$500,</t>
        </is>
      </c>
    </row>
    <row r="24">
      <c r="A24" s="2" t="inlineStr">
        <is>
          <t xml:space="preserve">  about 1.3%) shown at seller customary half share (~0.9% combined). Exact split per contract, confirm with title.</t>
        </is>
      </c>
    </row>
    <row r="25">
      <c r="A25" s="2" t="inlineStr">
        <is>
          <t>- Estimated loan balance: $109,068 (Sept 2026). This is an estimate, not a payoff statement - actual</t>
        </is>
      </c>
    </row>
    <row r="26">
      <c r="A26" s="2" t="inlineStr">
        <is>
          <t xml:space="preserve">  payoff may differ slightly with per-diem interest and fees. Confirm with a current statement before closing.</t>
        </is>
      </c>
    </row>
    <row r="27">
      <c r="A27" s="2" t="inlineStr">
        <is>
          <t>- List range $319,900-$339,900 brackets the market-evidence pricing from 9 Manchester 21102 comps</t>
        </is>
      </c>
    </row>
    <row r="28">
      <c r="A28" s="2" t="inlineStr">
        <is>
          <t xml:space="preserve">  (average closed price $342,875, average 99.3% sold-to-list, RPR/Bright MLS, Sept 2026).</t>
        </is>
      </c>
    </row>
    <row r="29">
      <c r="A29" s="2" t="inlineStr">
        <is>
          <t>- Section 121: primary residence 2 of last 5 yrs excludes first 250k gain (single) / 500k (MFJ) from</t>
        </is>
      </c>
    </row>
    <row r="30">
      <c r="A30" s="2" t="inlineStr">
        <is>
          <t xml:space="preserve">  federal tax. Purchased 2010 for $149,900, so gain is well under that threshold at every scenario.</t>
        </is>
      </c>
    </row>
    <row r="31">
      <c r="A31" s="2" t="inlineStr">
        <is>
          <t xml:space="preserve">  Confirm with CPA.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2026-09-14T21:49:18Z</dcterms:created>
  <dcterms:modified xsi:type="dcterms:W3CDTF">2026-09-14T21:49:18Z</dcterms:modified>
</cp:coreProperties>
</file>